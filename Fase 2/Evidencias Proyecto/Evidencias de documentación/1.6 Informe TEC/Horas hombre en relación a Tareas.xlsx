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 y Tarifas" sheetId="1" r:id="rId5"/>
  </sheets>
  <definedNames/>
  <calcPr/>
</workbook>
</file>

<file path=xl/sharedStrings.xml><?xml version="1.0" encoding="utf-8"?>
<sst xmlns="http://schemas.openxmlformats.org/spreadsheetml/2006/main" count="101" uniqueCount="74">
  <si>
    <t>Resumen de Costos por Responsable</t>
  </si>
  <si>
    <t>Responsable</t>
  </si>
  <si>
    <t>Horas Invertidas</t>
  </si>
  <si>
    <t>Total ($CLP)</t>
  </si>
  <si>
    <t>Gabriel Valencia</t>
  </si>
  <si>
    <t>$348.000</t>
  </si>
  <si>
    <t>Diego Plaza</t>
  </si>
  <si>
    <t>$564.000</t>
  </si>
  <si>
    <t>Alonso González</t>
  </si>
  <si>
    <t>$120.000</t>
  </si>
  <si>
    <t>ID Tarea</t>
  </si>
  <si>
    <t>Tareas o actividad</t>
  </si>
  <si>
    <t>Horas estimadas</t>
  </si>
  <si>
    <t>Tarifa / Hora ($CLP)</t>
  </si>
  <si>
    <t>Subtotal ($CLP)</t>
  </si>
  <si>
    <t>TH-1.1</t>
  </si>
  <si>
    <t>Modelado de BDD y desarrollo de API utilizando Nest.js para el registro de usuarios (endpoint de /Registro), con validación de correo</t>
  </si>
  <si>
    <t>TH-1.2</t>
  </si>
  <si>
    <t>Implementación de encriptación de contraseña en el backend</t>
  </si>
  <si>
    <t>TH-1.3</t>
  </si>
  <si>
    <t>Maquetado del UI para el formulario de registro usando React/Angular y la debida conexión con el backend</t>
  </si>
  <si>
    <t>Alonso Gonzalez</t>
  </si>
  <si>
    <t>TH-2.1</t>
  </si>
  <si>
    <t>Desarrollo del endpoint de /Login en Nest.js para realizar la validación de credenciales y generación de JWT</t>
  </si>
  <si>
    <t>TH-2.2</t>
  </si>
  <si>
    <t>Creación de vista de Login y confirmación de almacenamiento seguro del token JWT</t>
  </si>
  <si>
    <t>TH-3.1</t>
  </si>
  <si>
    <t>Desarrollo del endpoint que gestiona los CONTACTOS, incluyendo la regla de negocio que bloquea el registro de mas de 5 contactos de emergencia</t>
  </si>
  <si>
    <t>TH-3.2</t>
  </si>
  <si>
    <t>Bosquejo del formulario de ingreso de contactos, con validación del formato del numero telefonico</t>
  </si>
  <si>
    <t>TH-4.1</t>
  </si>
  <si>
    <t>Desarrollo de la API para gestionar contactos, implementando la validación para que se mantenga al menos 1 contacto de emergencia</t>
  </si>
  <si>
    <t>TH-4.2</t>
  </si>
  <si>
    <t>Desarrollo de vista de contactos, con funciones de edición, eliminación y confirmación de cambios/borrado</t>
  </si>
  <si>
    <t>TH-5.1</t>
  </si>
  <si>
    <t>Desarrollo de la vista de MODIFICAR USUARIO, centrandose en las funciones de crear mensaje y seleccionar tipo de emergencia. Añadiendo tambien la regla de 160 caracteres como maximo al mensaje</t>
  </si>
  <si>
    <t>TH-5.2</t>
  </si>
  <si>
    <t>Desarrollo de backend para gestionar las emergencias y su persistencia en la BDD</t>
  </si>
  <si>
    <t>TH-6.1</t>
  </si>
  <si>
    <t>Implementación en la UI de la función del boton SOS con logica de confirmación personalizable (mantener presionado durante 2 segundos continuos)</t>
  </si>
  <si>
    <t>TH-6.2</t>
  </si>
  <si>
    <t>Desarrollo del endpoint de /Alertas, siendo el que recibe las alertas SOS y actualiza el estado del perfil del usuario a "Emergencia activa"</t>
  </si>
  <si>
    <t>TH-7.1</t>
  </si>
  <si>
    <t>Integración de plugin de geolocalización (Capacitor) para extraer la ubicación (Latitud y longitud especificamente) en tiempo real</t>
  </si>
  <si>
    <t>TH-7.2</t>
  </si>
  <si>
    <t>Desarrollo de la logica de fallback y manejo de Timeout para implementar el uso de la ultima ubicación conocida del usuario</t>
  </si>
  <si>
    <t>TH-8.1</t>
  </si>
  <si>
    <t>Integración con servicios de mensajeria (Push/SMS) desde el backend para el envio del enlace con la ubicación</t>
  </si>
  <si>
    <t>TH-8.2</t>
  </si>
  <si>
    <t>Desarrollo del registro de auditoria de alertas en la BDD con fecha, hora y estado del envió de la alerta para los contactos</t>
  </si>
  <si>
    <t>TH-9.1</t>
  </si>
  <si>
    <t>Desarrollo de endpoints para creación de cuentas secundarias, aplicando la regla de negocios de un maximo de 5 usuarios secundarios por cuenta principal</t>
  </si>
  <si>
    <t>TH-9.2</t>
  </si>
  <si>
    <t>Maquetación de panel administrativo de usuario principal para gestionar usuarios secundarios</t>
  </si>
  <si>
    <t>TH-10.1</t>
  </si>
  <si>
    <t>Creación y configuración del manejo de PIN en la UI</t>
  </si>
  <si>
    <t>TH-10.2</t>
  </si>
  <si>
    <t>Revisión de logica de backend con respecto a la validación y uso de PIN para autorizar acciones como desvinculación de usuarios secundarios</t>
  </si>
  <si>
    <t>TH-11.1</t>
  </si>
  <si>
    <t>Implementación de cifrado AES-256 para campos de datos medicos sensibles</t>
  </si>
  <si>
    <t>TH-11.2</t>
  </si>
  <si>
    <t>Desarrollo de interfaz del anexo de la ficha medica del usuario revisando su manejo y confidencialidad</t>
  </si>
  <si>
    <t>TH-12.1</t>
  </si>
  <si>
    <t>Logica de backend para la generación de la vista publica restringida de la ficha medica enlaces temporales que funcionen en base al estado de la emergencia</t>
  </si>
  <si>
    <t>TH-12.2</t>
  </si>
  <si>
    <t>Automatización de la prohibición del acceso al enlace medico inmediatamente despues que la emergencia cambie de estado</t>
  </si>
  <si>
    <t>TH-13.1</t>
  </si>
  <si>
    <t>Maquetación completa del panel de administración y empaquetado inicial en Electron para expotación.</t>
  </si>
  <si>
    <t>TH-13.2</t>
  </si>
  <si>
    <t>Implementación de servicios de reportes exclusivamente para auditoria por parte del ADMINISTRADOR</t>
  </si>
  <si>
    <t>Total de Horas Estimadas</t>
  </si>
  <si>
    <t>88h</t>
  </si>
  <si>
    <t>Total</t>
  </si>
  <si>
    <t>$1.032.000CLP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</si>
</sst>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4" fillId="2" fontId="4" numFmtId="0" xfId="0" applyAlignment="1" applyBorder="1" applyFill="1" applyFont="1">
      <alignment horizontal="center" readingOrder="0" vertical="center"/>
    </xf>
    <xf borderId="4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4" fillId="0" fontId="6" numFmtId="164" xfId="0" applyAlignment="1" applyBorder="1" applyFont="1" applyNumberFormat="1">
      <alignment horizontal="center" vertical="center"/>
    </xf>
    <xf borderId="4" fillId="3" fontId="5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5.75"/>
    <col customWidth="1" min="3" max="3" width="15.63"/>
    <col customWidth="1" min="4" max="4" width="15.88"/>
    <col customWidth="1" min="5" max="5" width="17.0"/>
  </cols>
  <sheetData>
    <row r="2">
      <c r="A2" s="1" t="s">
        <v>0</v>
      </c>
      <c r="B2" s="2"/>
      <c r="C2" s="3"/>
    </row>
    <row r="3">
      <c r="A3" s="4" t="s">
        <v>1</v>
      </c>
      <c r="B3" s="4" t="s">
        <v>2</v>
      </c>
      <c r="C3" s="4" t="s">
        <v>3</v>
      </c>
    </row>
    <row r="4">
      <c r="A4" s="5" t="s">
        <v>4</v>
      </c>
      <c r="B4" s="6">
        <v>29.0</v>
      </c>
      <c r="C4" s="7" t="s">
        <v>5</v>
      </c>
    </row>
    <row r="5">
      <c r="A5" s="5" t="s">
        <v>6</v>
      </c>
      <c r="B5" s="6">
        <v>47.0</v>
      </c>
      <c r="C5" s="7" t="s">
        <v>7</v>
      </c>
    </row>
    <row r="6">
      <c r="A6" s="5" t="s">
        <v>8</v>
      </c>
      <c r="B6" s="6">
        <v>12.0</v>
      </c>
      <c r="C6" s="7" t="s">
        <v>9</v>
      </c>
    </row>
    <row r="9">
      <c r="A9" s="8" t="s">
        <v>10</v>
      </c>
      <c r="B9" s="9" t="s">
        <v>11</v>
      </c>
      <c r="C9" s="9" t="s">
        <v>12</v>
      </c>
      <c r="D9" s="10" t="s">
        <v>1</v>
      </c>
      <c r="E9" s="10" t="s">
        <v>13</v>
      </c>
      <c r="F9" s="10" t="s">
        <v>14</v>
      </c>
    </row>
    <row r="10" ht="62.25" customHeight="1">
      <c r="A10" s="11" t="s">
        <v>15</v>
      </c>
      <c r="B10" s="11" t="s">
        <v>16</v>
      </c>
      <c r="C10" s="11">
        <v>4.0</v>
      </c>
      <c r="D10" s="12" t="s">
        <v>6</v>
      </c>
      <c r="E10" s="13">
        <v>12000.0</v>
      </c>
      <c r="F10" s="14">
        <f t="shared" ref="F10:F36" si="1">MULTIPLY(E10,C10)</f>
        <v>48000</v>
      </c>
    </row>
    <row r="11" ht="62.25" customHeight="1">
      <c r="A11" s="11" t="s">
        <v>17</v>
      </c>
      <c r="B11" s="11" t="s">
        <v>18</v>
      </c>
      <c r="C11" s="11">
        <v>2.0</v>
      </c>
      <c r="D11" s="12" t="s">
        <v>6</v>
      </c>
      <c r="E11" s="13">
        <v>12000.0</v>
      </c>
      <c r="F11" s="14">
        <f t="shared" si="1"/>
        <v>24000</v>
      </c>
    </row>
    <row r="12" ht="62.25" customHeight="1">
      <c r="A12" s="11" t="s">
        <v>19</v>
      </c>
      <c r="B12" s="11" t="s">
        <v>20</v>
      </c>
      <c r="C12" s="11">
        <v>3.0</v>
      </c>
      <c r="D12" s="12" t="s">
        <v>21</v>
      </c>
      <c r="E12" s="13">
        <v>12000.0</v>
      </c>
      <c r="F12" s="14">
        <f t="shared" si="1"/>
        <v>36000</v>
      </c>
    </row>
    <row r="13" ht="62.25" customHeight="1">
      <c r="A13" s="11" t="s">
        <v>22</v>
      </c>
      <c r="B13" s="11" t="s">
        <v>23</v>
      </c>
      <c r="C13" s="11">
        <v>4.0</v>
      </c>
      <c r="D13" s="12" t="s">
        <v>6</v>
      </c>
      <c r="E13" s="13">
        <v>12000.0</v>
      </c>
      <c r="F13" s="14">
        <f t="shared" si="1"/>
        <v>48000</v>
      </c>
    </row>
    <row r="14" ht="62.25" customHeight="1">
      <c r="A14" s="15" t="s">
        <v>24</v>
      </c>
      <c r="B14" s="11" t="s">
        <v>25</v>
      </c>
      <c r="C14" s="11">
        <v>3.0</v>
      </c>
      <c r="D14" s="12" t="s">
        <v>21</v>
      </c>
      <c r="E14" s="13">
        <v>12000.0</v>
      </c>
      <c r="F14" s="14">
        <f t="shared" si="1"/>
        <v>36000</v>
      </c>
    </row>
    <row r="15" ht="62.25" customHeight="1">
      <c r="A15" s="11" t="s">
        <v>26</v>
      </c>
      <c r="B15" s="11" t="s">
        <v>27</v>
      </c>
      <c r="C15" s="11">
        <v>3.0</v>
      </c>
      <c r="D15" s="12" t="s">
        <v>6</v>
      </c>
      <c r="E15" s="13">
        <v>12000.0</v>
      </c>
      <c r="F15" s="14">
        <f t="shared" si="1"/>
        <v>36000</v>
      </c>
    </row>
    <row r="16" ht="62.25" customHeight="1">
      <c r="A16" s="11" t="s">
        <v>28</v>
      </c>
      <c r="B16" s="11" t="s">
        <v>29</v>
      </c>
      <c r="C16" s="11">
        <v>2.0</v>
      </c>
      <c r="D16" s="12" t="s">
        <v>21</v>
      </c>
      <c r="E16" s="13">
        <v>12000.0</v>
      </c>
      <c r="F16" s="14">
        <f t="shared" si="1"/>
        <v>24000</v>
      </c>
    </row>
    <row r="17" ht="62.25" customHeight="1">
      <c r="A17" s="11" t="s">
        <v>30</v>
      </c>
      <c r="B17" s="11" t="s">
        <v>31</v>
      </c>
      <c r="C17" s="11">
        <v>4.0</v>
      </c>
      <c r="D17" s="12" t="s">
        <v>6</v>
      </c>
      <c r="E17" s="13">
        <v>12000.0</v>
      </c>
      <c r="F17" s="14">
        <f t="shared" si="1"/>
        <v>48000</v>
      </c>
    </row>
    <row r="18" ht="62.25" customHeight="1">
      <c r="A18" s="11" t="s">
        <v>32</v>
      </c>
      <c r="B18" s="11" t="s">
        <v>33</v>
      </c>
      <c r="C18" s="11">
        <v>2.0</v>
      </c>
      <c r="D18" s="12" t="s">
        <v>21</v>
      </c>
      <c r="E18" s="13">
        <v>12000.0</v>
      </c>
      <c r="F18" s="14">
        <f t="shared" si="1"/>
        <v>24000</v>
      </c>
    </row>
    <row r="19" ht="96.0" customHeight="1">
      <c r="A19" s="11" t="s">
        <v>34</v>
      </c>
      <c r="B19" s="11" t="s">
        <v>35</v>
      </c>
      <c r="C19" s="11">
        <v>2.0</v>
      </c>
      <c r="D19" s="12" t="s">
        <v>21</v>
      </c>
      <c r="E19" s="13">
        <v>12000.0</v>
      </c>
      <c r="F19" s="14">
        <f t="shared" si="1"/>
        <v>24000</v>
      </c>
    </row>
    <row r="20" ht="62.25" customHeight="1">
      <c r="A20" s="11" t="s">
        <v>36</v>
      </c>
      <c r="B20" s="11" t="s">
        <v>37</v>
      </c>
      <c r="C20" s="11">
        <v>2.0</v>
      </c>
      <c r="D20" s="12" t="s">
        <v>6</v>
      </c>
      <c r="E20" s="13">
        <v>12000.0</v>
      </c>
      <c r="F20" s="14">
        <f t="shared" si="1"/>
        <v>24000</v>
      </c>
    </row>
    <row r="21" ht="62.25" customHeight="1">
      <c r="A21" s="11" t="s">
        <v>38</v>
      </c>
      <c r="B21" s="11" t="s">
        <v>39</v>
      </c>
      <c r="C21" s="11">
        <v>4.0</v>
      </c>
      <c r="D21" s="12" t="s">
        <v>21</v>
      </c>
      <c r="E21" s="13">
        <v>12000.0</v>
      </c>
      <c r="F21" s="14">
        <f t="shared" si="1"/>
        <v>48000</v>
      </c>
    </row>
    <row r="22" ht="62.25" customHeight="1">
      <c r="A22" s="11" t="s">
        <v>40</v>
      </c>
      <c r="B22" s="11" t="s">
        <v>41</v>
      </c>
      <c r="C22" s="11">
        <v>3.0</v>
      </c>
      <c r="D22" s="12" t="s">
        <v>6</v>
      </c>
      <c r="E22" s="13">
        <v>12000.0</v>
      </c>
      <c r="F22" s="14">
        <f t="shared" si="1"/>
        <v>36000</v>
      </c>
    </row>
    <row r="23" ht="62.25" customHeight="1">
      <c r="A23" s="11" t="s">
        <v>42</v>
      </c>
      <c r="B23" s="11" t="s">
        <v>43</v>
      </c>
      <c r="C23" s="11">
        <v>5.0</v>
      </c>
      <c r="D23" s="12" t="s">
        <v>21</v>
      </c>
      <c r="E23" s="13">
        <v>12000.0</v>
      </c>
      <c r="F23" s="14">
        <f t="shared" si="1"/>
        <v>60000</v>
      </c>
    </row>
    <row r="24" ht="62.25" customHeight="1">
      <c r="A24" s="11" t="s">
        <v>44</v>
      </c>
      <c r="B24" s="11" t="s">
        <v>45</v>
      </c>
      <c r="C24" s="11">
        <v>3.0</v>
      </c>
      <c r="D24" s="12" t="s">
        <v>4</v>
      </c>
      <c r="E24" s="13">
        <v>10000.0</v>
      </c>
      <c r="F24" s="14">
        <f t="shared" si="1"/>
        <v>30000</v>
      </c>
    </row>
    <row r="25" ht="62.25" customHeight="1">
      <c r="A25" s="11" t="s">
        <v>46</v>
      </c>
      <c r="B25" s="11" t="s">
        <v>47</v>
      </c>
      <c r="C25" s="11">
        <v>6.0</v>
      </c>
      <c r="D25" s="12" t="s">
        <v>6</v>
      </c>
      <c r="E25" s="13">
        <v>12000.0</v>
      </c>
      <c r="F25" s="14">
        <f t="shared" si="1"/>
        <v>72000</v>
      </c>
    </row>
    <row r="26" ht="62.25" customHeight="1">
      <c r="A26" s="11" t="s">
        <v>48</v>
      </c>
      <c r="B26" s="11" t="s">
        <v>49</v>
      </c>
      <c r="C26" s="11">
        <v>2.0</v>
      </c>
      <c r="D26" s="12" t="s">
        <v>4</v>
      </c>
      <c r="E26" s="13">
        <v>10000.0</v>
      </c>
      <c r="F26" s="14">
        <f t="shared" si="1"/>
        <v>20000</v>
      </c>
    </row>
    <row r="27" ht="62.25" customHeight="1">
      <c r="A27" s="11" t="s">
        <v>50</v>
      </c>
      <c r="B27" s="11" t="s">
        <v>51</v>
      </c>
      <c r="C27" s="11">
        <v>4.0</v>
      </c>
      <c r="D27" s="12" t="s">
        <v>6</v>
      </c>
      <c r="E27" s="13">
        <v>12000.0</v>
      </c>
      <c r="F27" s="14">
        <f t="shared" si="1"/>
        <v>48000</v>
      </c>
    </row>
    <row r="28" ht="62.25" customHeight="1">
      <c r="A28" s="11" t="s">
        <v>52</v>
      </c>
      <c r="B28" s="11" t="s">
        <v>53</v>
      </c>
      <c r="C28" s="11">
        <v>3.0</v>
      </c>
      <c r="D28" s="12" t="s">
        <v>21</v>
      </c>
      <c r="E28" s="13">
        <v>12000.0</v>
      </c>
      <c r="F28" s="14">
        <f t="shared" si="1"/>
        <v>36000</v>
      </c>
    </row>
    <row r="29" ht="62.25" customHeight="1">
      <c r="A29" s="11" t="s">
        <v>54</v>
      </c>
      <c r="B29" s="11" t="s">
        <v>55</v>
      </c>
      <c r="C29" s="11">
        <v>3.0</v>
      </c>
      <c r="D29" s="12" t="s">
        <v>21</v>
      </c>
      <c r="E29" s="13">
        <v>12000.0</v>
      </c>
      <c r="F29" s="14">
        <f t="shared" si="1"/>
        <v>36000</v>
      </c>
    </row>
    <row r="30" ht="62.25" customHeight="1">
      <c r="A30" s="11" t="s">
        <v>56</v>
      </c>
      <c r="B30" s="11" t="s">
        <v>57</v>
      </c>
      <c r="C30" s="11">
        <v>3.0</v>
      </c>
      <c r="D30" s="12" t="s">
        <v>6</v>
      </c>
      <c r="E30" s="13">
        <v>12000.0</v>
      </c>
      <c r="F30" s="14">
        <f t="shared" si="1"/>
        <v>36000</v>
      </c>
    </row>
    <row r="31" ht="62.25" customHeight="1">
      <c r="A31" s="11" t="s">
        <v>58</v>
      </c>
      <c r="B31" s="11" t="s">
        <v>59</v>
      </c>
      <c r="C31" s="11">
        <v>4.0</v>
      </c>
      <c r="D31" s="12" t="s">
        <v>6</v>
      </c>
      <c r="E31" s="13">
        <v>12000.0</v>
      </c>
      <c r="F31" s="14">
        <f t="shared" si="1"/>
        <v>48000</v>
      </c>
    </row>
    <row r="32" ht="62.25" customHeight="1">
      <c r="A32" s="11" t="s">
        <v>60</v>
      </c>
      <c r="B32" s="11" t="s">
        <v>61</v>
      </c>
      <c r="C32" s="11">
        <v>2.0</v>
      </c>
      <c r="D32" s="12" t="s">
        <v>21</v>
      </c>
      <c r="E32" s="13">
        <v>12000.0</v>
      </c>
      <c r="F32" s="14">
        <f t="shared" si="1"/>
        <v>24000</v>
      </c>
    </row>
    <row r="33" ht="62.25" customHeight="1">
      <c r="A33" s="11" t="s">
        <v>62</v>
      </c>
      <c r="B33" s="11" t="s">
        <v>63</v>
      </c>
      <c r="C33" s="11">
        <v>4.0</v>
      </c>
      <c r="D33" s="12" t="s">
        <v>6</v>
      </c>
      <c r="E33" s="13">
        <v>12000.0</v>
      </c>
      <c r="F33" s="14">
        <f t="shared" si="1"/>
        <v>48000</v>
      </c>
    </row>
    <row r="34" ht="62.25" customHeight="1">
      <c r="A34" s="11" t="s">
        <v>64</v>
      </c>
      <c r="B34" s="11" t="s">
        <v>65</v>
      </c>
      <c r="C34" s="11">
        <v>2.0</v>
      </c>
      <c r="D34" s="12" t="s">
        <v>4</v>
      </c>
      <c r="E34" s="13">
        <v>10000.0</v>
      </c>
      <c r="F34" s="14">
        <f t="shared" si="1"/>
        <v>20000</v>
      </c>
    </row>
    <row r="35" ht="62.25" customHeight="1">
      <c r="A35" s="11" t="s">
        <v>66</v>
      </c>
      <c r="B35" s="11" t="s">
        <v>67</v>
      </c>
      <c r="C35" s="11">
        <v>5.0</v>
      </c>
      <c r="D35" s="12" t="s">
        <v>4</v>
      </c>
      <c r="E35" s="13">
        <v>10000.0</v>
      </c>
      <c r="F35" s="14">
        <f t="shared" si="1"/>
        <v>50000</v>
      </c>
    </row>
    <row r="36" ht="62.25" customHeight="1">
      <c r="A36" s="11" t="s">
        <v>68</v>
      </c>
      <c r="B36" s="11" t="s">
        <v>69</v>
      </c>
      <c r="C36" s="11">
        <v>4.0</v>
      </c>
      <c r="D36" s="12" t="s">
        <v>6</v>
      </c>
      <c r="E36" s="13">
        <v>12000.0</v>
      </c>
      <c r="F36" s="14">
        <f t="shared" si="1"/>
        <v>48000</v>
      </c>
    </row>
    <row r="38">
      <c r="B38" s="16" t="s">
        <v>70</v>
      </c>
      <c r="C38" s="17" t="s">
        <v>71</v>
      </c>
      <c r="E38" s="16" t="s">
        <v>72</v>
      </c>
      <c r="F38" s="17" t="s">
        <v>73</v>
      </c>
    </row>
  </sheetData>
  <mergeCells count="1">
    <mergeCell ref="A2:C2"/>
  </mergeCells>
  <drawing r:id="rId1"/>
</worksheet>
</file>