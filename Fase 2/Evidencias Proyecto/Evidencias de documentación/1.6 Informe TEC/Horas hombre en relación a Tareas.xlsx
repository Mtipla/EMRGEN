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s y Tarifas" sheetId="1" r:id="rId4"/>
  </sheets>
  <definedNames/>
  <calcPr/>
  <extLst>
    <ext uri="GoogleSheetsCustomDataVersion2">
      <go:sheetsCustomData xmlns:go="http://customooxmlschemas.google.com/" r:id="rId5" roundtripDataChecksum="CorAw8l5yOBrA8IOoJWDT+O3sg2wTakNIJc8/ojGJDE="/>
    </ext>
  </extLst>
</workbook>
</file>

<file path=xl/sharedStrings.xml><?xml version="1.0" encoding="utf-8"?>
<sst xmlns="http://schemas.openxmlformats.org/spreadsheetml/2006/main" count="132" uniqueCount="93">
  <si>
    <t>Resumen de Costos por Responsable</t>
  </si>
  <si>
    <t>Responsable</t>
  </si>
  <si>
    <t>Horas Invertidas</t>
  </si>
  <si>
    <t>Total ($CLP)</t>
  </si>
  <si>
    <t>Gabriel Valencia</t>
  </si>
  <si>
    <t>Diego Plaza</t>
  </si>
  <si>
    <t>Alonso González</t>
  </si>
  <si>
    <t>ID Tarea</t>
  </si>
  <si>
    <t>Tareas o actividad</t>
  </si>
  <si>
    <t>Horas estimadas</t>
  </si>
  <si>
    <t>Tarifa / Hora ($CLP)</t>
  </si>
  <si>
    <t>Subtotal ($CLP)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</si>
  <si>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</si>
  <si>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</si>
  <si>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</si>
  <si>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</si>
  <si>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</si>
  <si>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</si>
  <si>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Alonso Gonzalez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</si>
  <si>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</si>
  <si>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</si>
  <si>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</si>
  <si>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</si>
  <si>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</si>
  <si>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</si>
  <si>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</si>
  <si>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</si>
  <si>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</si>
  <si>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</si>
  <si>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</si>
  <si>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</si>
  <si>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</si>
  <si>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</si>
  <si>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</si>
  <si>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</si>
  <si>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TH-6.1</t>
  </si>
  <si>
    <t>Implementación en la UI de la función del boton SOS con logica de confirmación personalizable (mantener presionado durante 5 segundos continuos)</t>
  </si>
  <si>
    <t>TH-6.2</t>
  </si>
  <si>
    <t>Desarrollo del endpoint de /Alertas, siendo el que recibe las alertas SOS y actualiza el estado del perfil del usuario a "Emergencia activa"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</si>
  <si>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</si>
  <si>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</si>
  <si>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</si>
  <si>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</si>
  <si>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</si>
  <si>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</si>
  <si>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</si>
  <si>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</si>
  <si>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</si>
  <si>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</si>
  <si>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</si>
  <si>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</si>
  <si>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</si>
  <si>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</si>
  <si>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</si>
  <si>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</si>
  <si>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</si>
  <si>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</si>
  <si>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</si>
  <si>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</si>
  <si>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</si>
  <si>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</si>
  <si>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</si>
  <si>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</si>
  <si>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</si>
  <si>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</si>
  <si>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</si>
  <si>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</si>
  <si>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TH-14.1</t>
  </si>
  <si>
    <t>Diseñar e implementar en la interfaz el botón/pantalla con confirmación para finalizar la alerta activa.</t>
  </si>
  <si>
    <t>TH-14.2</t>
  </si>
  <si>
    <t>Crear el endpoint de cierre de emergencia que notifique el fin de la situación a los contactos y revoque automáticamente los permisos/tokens de acceso temporal a los datos médicos.</t>
  </si>
  <si>
    <t>TH-15.1</t>
  </si>
  <si>
    <t>Construir la pantalla de ajustes de perfil con campos para cambio de correo y contraseña.</t>
  </si>
  <si>
    <t>TH-15.2</t>
  </si>
  <si>
    <t>Implementar el servicio de actualización de credenciales en la base de datos/proveedor de identidad, requiriendo la contraseña actual y enviando un correo de verificación al nuevo e-mail.</t>
  </si>
  <si>
    <t>TH-16.1</t>
  </si>
  <si>
    <t>Desarrollar la vista de selección de planes/cupos e integrar la pasarela de pagos con interfaz clara de Checkout.</t>
  </si>
  <si>
    <t>TH-16.2</t>
  </si>
  <si>
    <t>Crear la lógica de negocio para procesar la transacción, actualizar el saldo de cupos del usuario principal en la base de datos y activar los permisos de asignación de apadrinados.</t>
  </si>
  <si>
    <t>TU-17.1</t>
  </si>
  <si>
    <t>Diseñar el módulo visual con la lista de números públicos oficiales (ej. Policía, Ambulancia, Bomberos) e implementar enlaces nativos de llamada.</t>
  </si>
  <si>
    <t>TU-17.2</t>
  </si>
  <si>
    <t>Configurar la carga dinámica de números de emergencia locales según el país o región del usuario.</t>
  </si>
  <si>
    <t>TU-18.1</t>
  </si>
  <si>
    <t>Crear el formulario de contacto/soporte accesible para usuarios autenticados y visitantes, con campos para tipo de problema, descripción y adjuntos.</t>
  </si>
  <si>
    <t>TU-18.2</t>
  </si>
  <si>
    <t>Construir el endpoint para procesar la solicitud e integrarlo con un servicio de correo o plataforma de Helpdesk.</t>
  </si>
  <si>
    <t>TU-19.1</t>
  </si>
  <si>
    <t>Diseñar las consultas a la base de datos para compilar el historial de alertas y eventos del usuario y sus apadrinados dentro de un rango de fechas.</t>
  </si>
  <si>
    <t>TU-19.2</t>
  </si>
  <si>
    <t>Implementar el botón de descarga y la lógica de generación del reporte en pantalla o formato exportable (PDF/CSV).</t>
  </si>
  <si>
    <t>Total de Horas Estimadas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</si>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</sst>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"/>
    <numFmt numFmtId="165" formatCode="[$$]#,##0"/>
    <numFmt numFmtId="166" formatCode="0&quot;h&quot;"/>
    <numFmt numFmtId="167" formatCode="&quot;$&quot;#,##0&quot;CLP&quot;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  <font>
      <b/>
      <sz val="14.0"/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4" fillId="0" fontId="3" numFmtId="0" xfId="0" applyAlignment="1" applyBorder="1" applyFont="1">
      <alignment horizontal="center" vertical="center"/>
    </xf>
    <xf borderId="4" fillId="0" fontId="3" numFmtId="164" xfId="0" applyAlignment="1" applyBorder="1" applyFont="1" applyNumberFormat="1">
      <alignment horizontal="center"/>
    </xf>
    <xf borderId="4" fillId="2" fontId="4" numFmtId="0" xfId="0" applyAlignment="1" applyBorder="1" applyFill="1" applyFont="1">
      <alignment horizontal="center" vertical="center"/>
    </xf>
    <xf borderId="4" fillId="2" fontId="4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3" fontId="5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1" numFmtId="0" xfId="0" applyBorder="1" applyFont="1"/>
    <xf borderId="4" fillId="0" fontId="1" numFmtId="166" xfId="0" applyAlignment="1" applyBorder="1" applyFont="1" applyNumberFormat="1">
      <alignment horizontal="center"/>
    </xf>
    <xf borderId="4" fillId="0" fontId="1" numFmtId="167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63"/>
    <col customWidth="1" min="2" max="2" width="35.75"/>
    <col customWidth="1" min="3" max="3" width="15.63"/>
    <col customWidth="1" min="4" max="4" width="15.88"/>
    <col customWidth="1" min="5" max="5" width="17.0"/>
    <col customWidth="1" min="6" max="6" width="13.88"/>
  </cols>
  <sheetData>
    <row r="1" ht="15.75" customHeight="1"/>
    <row r="2" ht="15.75" customHeight="1">
      <c r="A2" s="1" t="s">
        <v>0</v>
      </c>
      <c r="B2" s="2"/>
      <c r="C2" s="3"/>
    </row>
    <row r="3" ht="15.75" customHeight="1">
      <c r="A3" s="4" t="s">
        <v>1</v>
      </c>
      <c r="B3" s="4" t="s">
        <v>2</v>
      </c>
      <c r="C3" s="4" t="s">
        <v>3</v>
      </c>
    </row>
    <row r="4" ht="15.75" customHeight="1">
      <c r="A4" s="5" t="s">
        <v>4</v>
      </c>
      <c r="B4" s="6">
        <f>SUMIF($D$10:$D$48,"Gabriel*",$C$10:$C$48)</f>
        <v>23</v>
      </c>
      <c r="C4" s="7">
        <f>SUMIF($D$10:$D$36,"Gabriel*",$F$10:$F$36)</f>
        <v>120000</v>
      </c>
    </row>
    <row r="5" ht="15.75" customHeight="1">
      <c r="A5" s="5" t="s">
        <v>5</v>
      </c>
      <c r="B5" s="6">
        <f>SUMIF($D$10:$D$48,"Diego*",$C$10:$C$48)</f>
        <v>60</v>
      </c>
      <c r="C5" s="7">
        <f>SUMIF($D$10:$D$36,"Diego*",$F$10:$F$36)</f>
        <v>564000</v>
      </c>
    </row>
    <row r="6" ht="15.75" customHeight="1">
      <c r="A6" s="5" t="s">
        <v>6</v>
      </c>
      <c r="B6" s="6">
        <f>SUMIF($D$10:$D$48,"Alonso*",$C$10:$C$48)</f>
        <v>41</v>
      </c>
      <c r="C6" s="7">
        <f>SUMIF($D$10:$D$36,"Alonso*",$F$10:$F$36)</f>
        <v>348000</v>
      </c>
    </row>
    <row r="7" ht="15.75" customHeight="1"/>
    <row r="8" ht="15.75" customHeight="1"/>
    <row r="9" ht="15.75" customHeight="1">
      <c r="A9" s="8" t="s">
        <v>7</v>
      </c>
      <c r="B9" s="9" t="s">
        <v>8</v>
      </c>
      <c r="C9" s="9" t="s">
        <v>9</v>
      </c>
      <c r="D9" s="9" t="s">
        <v>1</v>
      </c>
      <c r="E9" s="9" t="s">
        <v>10</v>
      </c>
      <c r="F9" s="9" t="s">
        <v>11</v>
      </c>
    </row>
    <row r="10" ht="62.25" customHeight="1">
      <c r="A10" s="10" t="s">
        <v>12</v>
      </c>
      <c r="B10" s="10" t="s">
        <v>13</v>
      </c>
      <c r="C10" s="10">
        <v>4.0</v>
      </c>
      <c r="D10" s="6" t="s">
        <v>5</v>
      </c>
      <c r="E10" s="11">
        <v>12000.0</v>
      </c>
      <c r="F10" s="12">
        <f t="shared" ref="F10:F48" si="1">E10*C10</f>
        <v>48000</v>
      </c>
    </row>
    <row r="11" ht="62.25" customHeight="1">
      <c r="A11" s="10" t="s">
        <v>14</v>
      </c>
      <c r="B11" s="10" t="s">
        <v>15</v>
      </c>
      <c r="C11" s="10">
        <v>2.0</v>
      </c>
      <c r="D11" s="6" t="s">
        <v>5</v>
      </c>
      <c r="E11" s="11">
        <v>12000.0</v>
      </c>
      <c r="F11" s="12">
        <f t="shared" si="1"/>
        <v>24000</v>
      </c>
    </row>
    <row r="12" ht="62.25" customHeight="1">
      <c r="A12" s="10" t="s">
        <v>16</v>
      </c>
      <c r="B12" s="10" t="s">
        <v>17</v>
      </c>
      <c r="C12" s="10">
        <v>3.0</v>
      </c>
      <c r="D12" s="6" t="s">
        <v>18</v>
      </c>
      <c r="E12" s="11">
        <v>12000.0</v>
      </c>
      <c r="F12" s="12">
        <f t="shared" si="1"/>
        <v>36000</v>
      </c>
    </row>
    <row r="13" ht="62.25" customHeight="1">
      <c r="A13" s="10" t="s">
        <v>19</v>
      </c>
      <c r="B13" s="10" t="s">
        <v>20</v>
      </c>
      <c r="C13" s="10">
        <v>4.0</v>
      </c>
      <c r="D13" s="6" t="s">
        <v>5</v>
      </c>
      <c r="E13" s="11">
        <v>12000.0</v>
      </c>
      <c r="F13" s="12">
        <f t="shared" si="1"/>
        <v>48000</v>
      </c>
    </row>
    <row r="14" ht="62.25" customHeight="1">
      <c r="A14" s="13" t="s">
        <v>21</v>
      </c>
      <c r="B14" s="10" t="s">
        <v>22</v>
      </c>
      <c r="C14" s="10">
        <v>3.0</v>
      </c>
      <c r="D14" s="6" t="s">
        <v>18</v>
      </c>
      <c r="E14" s="11">
        <v>12000.0</v>
      </c>
      <c r="F14" s="12">
        <f t="shared" si="1"/>
        <v>36000</v>
      </c>
    </row>
    <row r="15" ht="62.25" customHeight="1">
      <c r="A15" s="10" t="s">
        <v>23</v>
      </c>
      <c r="B15" s="10" t="s">
        <v>24</v>
      </c>
      <c r="C15" s="10">
        <v>3.0</v>
      </c>
      <c r="D15" s="6" t="s">
        <v>5</v>
      </c>
      <c r="E15" s="11">
        <v>12000.0</v>
      </c>
      <c r="F15" s="12">
        <f t="shared" si="1"/>
        <v>36000</v>
      </c>
    </row>
    <row r="16" ht="62.25" customHeight="1">
      <c r="A16" s="10" t="s">
        <v>25</v>
      </c>
      <c r="B16" s="10" t="s">
        <v>26</v>
      </c>
      <c r="C16" s="10">
        <v>2.0</v>
      </c>
      <c r="D16" s="6" t="s">
        <v>18</v>
      </c>
      <c r="E16" s="11">
        <v>12000.0</v>
      </c>
      <c r="F16" s="12">
        <f t="shared" si="1"/>
        <v>24000</v>
      </c>
    </row>
    <row r="17" ht="62.25" customHeight="1">
      <c r="A17" s="10" t="s">
        <v>27</v>
      </c>
      <c r="B17" s="10" t="s">
        <v>28</v>
      </c>
      <c r="C17" s="10">
        <v>4.0</v>
      </c>
      <c r="D17" s="6" t="s">
        <v>5</v>
      </c>
      <c r="E17" s="11">
        <v>12000.0</v>
      </c>
      <c r="F17" s="12">
        <f t="shared" si="1"/>
        <v>48000</v>
      </c>
    </row>
    <row r="18" ht="62.25" customHeight="1">
      <c r="A18" s="10" t="s">
        <v>29</v>
      </c>
      <c r="B18" s="10" t="s">
        <v>30</v>
      </c>
      <c r="C18" s="10">
        <v>2.0</v>
      </c>
      <c r="D18" s="6" t="s">
        <v>18</v>
      </c>
      <c r="E18" s="11">
        <v>12000.0</v>
      </c>
      <c r="F18" s="12">
        <f t="shared" si="1"/>
        <v>24000</v>
      </c>
    </row>
    <row r="19" ht="96.0" customHeight="1">
      <c r="A19" s="10" t="s">
        <v>31</v>
      </c>
      <c r="B19" s="10" t="s">
        <v>32</v>
      </c>
      <c r="C19" s="10">
        <v>2.0</v>
      </c>
      <c r="D19" s="6" t="s">
        <v>18</v>
      </c>
      <c r="E19" s="11">
        <v>12000.0</v>
      </c>
      <c r="F19" s="12">
        <f t="shared" si="1"/>
        <v>24000</v>
      </c>
    </row>
    <row r="20" ht="62.25" customHeight="1">
      <c r="A20" s="10" t="s">
        <v>33</v>
      </c>
      <c r="B20" s="10" t="s">
        <v>34</v>
      </c>
      <c r="C20" s="10">
        <v>2.0</v>
      </c>
      <c r="D20" s="6" t="s">
        <v>5</v>
      </c>
      <c r="E20" s="11">
        <v>12000.0</v>
      </c>
      <c r="F20" s="12">
        <f t="shared" si="1"/>
        <v>24000</v>
      </c>
    </row>
    <row r="21" ht="62.25" customHeight="1">
      <c r="A21" s="10" t="s">
        <v>35</v>
      </c>
      <c r="B21" s="14" t="s">
        <v>36</v>
      </c>
      <c r="C21" s="10">
        <v>4.0</v>
      </c>
      <c r="D21" s="6" t="s">
        <v>18</v>
      </c>
      <c r="E21" s="11">
        <v>12000.0</v>
      </c>
      <c r="F21" s="12">
        <f t="shared" si="1"/>
        <v>48000</v>
      </c>
    </row>
    <row r="22" ht="62.25" customHeight="1">
      <c r="A22" s="10" t="s">
        <v>37</v>
      </c>
      <c r="B22" s="10" t="s">
        <v>38</v>
      </c>
      <c r="C22" s="10">
        <v>3.0</v>
      </c>
      <c r="D22" s="6" t="s">
        <v>5</v>
      </c>
      <c r="E22" s="11">
        <v>12000.0</v>
      </c>
      <c r="F22" s="12">
        <f t="shared" si="1"/>
        <v>36000</v>
      </c>
    </row>
    <row r="23" ht="62.25" customHeight="1">
      <c r="A23" s="10" t="s">
        <v>39</v>
      </c>
      <c r="B23" s="10" t="s">
        <v>40</v>
      </c>
      <c r="C23" s="10">
        <v>5.0</v>
      </c>
      <c r="D23" s="6" t="s">
        <v>18</v>
      </c>
      <c r="E23" s="11">
        <v>12000.0</v>
      </c>
      <c r="F23" s="12">
        <f t="shared" si="1"/>
        <v>60000</v>
      </c>
    </row>
    <row r="24" ht="62.25" customHeight="1">
      <c r="A24" s="10" t="s">
        <v>41</v>
      </c>
      <c r="B24" s="10" t="s">
        <v>42</v>
      </c>
      <c r="C24" s="10">
        <v>3.0</v>
      </c>
      <c r="D24" s="6" t="s">
        <v>4</v>
      </c>
      <c r="E24" s="11">
        <v>10000.0</v>
      </c>
      <c r="F24" s="12">
        <f t="shared" si="1"/>
        <v>30000</v>
      </c>
    </row>
    <row r="25" ht="62.25" customHeight="1">
      <c r="A25" s="10" t="s">
        <v>43</v>
      </c>
      <c r="B25" s="10" t="s">
        <v>44</v>
      </c>
      <c r="C25" s="10">
        <v>6.0</v>
      </c>
      <c r="D25" s="6" t="s">
        <v>5</v>
      </c>
      <c r="E25" s="11">
        <v>12000.0</v>
      </c>
      <c r="F25" s="12">
        <f t="shared" si="1"/>
        <v>72000</v>
      </c>
    </row>
    <row r="26" ht="62.25" customHeight="1">
      <c r="A26" s="10" t="s">
        <v>45</v>
      </c>
      <c r="B26" s="10" t="s">
        <v>46</v>
      </c>
      <c r="C26" s="10">
        <v>2.0</v>
      </c>
      <c r="D26" s="6" t="s">
        <v>4</v>
      </c>
      <c r="E26" s="11">
        <v>10000.0</v>
      </c>
      <c r="F26" s="12">
        <f t="shared" si="1"/>
        <v>20000</v>
      </c>
    </row>
    <row r="27" ht="62.25" customHeight="1">
      <c r="A27" s="10" t="s">
        <v>47</v>
      </c>
      <c r="B27" s="10" t="s">
        <v>48</v>
      </c>
      <c r="C27" s="10">
        <v>4.0</v>
      </c>
      <c r="D27" s="6" t="s">
        <v>5</v>
      </c>
      <c r="E27" s="11">
        <v>12000.0</v>
      </c>
      <c r="F27" s="12">
        <f t="shared" si="1"/>
        <v>48000</v>
      </c>
    </row>
    <row r="28" ht="62.25" customHeight="1">
      <c r="A28" s="10" t="s">
        <v>49</v>
      </c>
      <c r="B28" s="10" t="s">
        <v>50</v>
      </c>
      <c r="C28" s="10">
        <v>3.0</v>
      </c>
      <c r="D28" s="6" t="s">
        <v>18</v>
      </c>
      <c r="E28" s="11">
        <v>12000.0</v>
      </c>
      <c r="F28" s="12">
        <f t="shared" si="1"/>
        <v>36000</v>
      </c>
    </row>
    <row r="29" ht="62.25" customHeight="1">
      <c r="A29" s="10" t="s">
        <v>51</v>
      </c>
      <c r="B29" s="10" t="s">
        <v>52</v>
      </c>
      <c r="C29" s="10">
        <v>3.0</v>
      </c>
      <c r="D29" s="6" t="s">
        <v>18</v>
      </c>
      <c r="E29" s="11">
        <v>12000.0</v>
      </c>
      <c r="F29" s="12">
        <f t="shared" si="1"/>
        <v>36000</v>
      </c>
    </row>
    <row r="30" ht="62.25" customHeight="1">
      <c r="A30" s="10" t="s">
        <v>53</v>
      </c>
      <c r="B30" s="10" t="s">
        <v>54</v>
      </c>
      <c r="C30" s="10">
        <v>3.0</v>
      </c>
      <c r="D30" s="6" t="s">
        <v>5</v>
      </c>
      <c r="E30" s="11">
        <v>12000.0</v>
      </c>
      <c r="F30" s="12">
        <f t="shared" si="1"/>
        <v>36000</v>
      </c>
    </row>
    <row r="31" ht="62.25" customHeight="1">
      <c r="A31" s="10" t="s">
        <v>55</v>
      </c>
      <c r="B31" s="10" t="s">
        <v>56</v>
      </c>
      <c r="C31" s="10">
        <v>4.0</v>
      </c>
      <c r="D31" s="6" t="s">
        <v>5</v>
      </c>
      <c r="E31" s="11">
        <v>12000.0</v>
      </c>
      <c r="F31" s="12">
        <f t="shared" si="1"/>
        <v>48000</v>
      </c>
    </row>
    <row r="32" ht="62.25" customHeight="1">
      <c r="A32" s="10" t="s">
        <v>57</v>
      </c>
      <c r="B32" s="10" t="s">
        <v>58</v>
      </c>
      <c r="C32" s="10">
        <v>2.0</v>
      </c>
      <c r="D32" s="6" t="s">
        <v>18</v>
      </c>
      <c r="E32" s="11">
        <v>12000.0</v>
      </c>
      <c r="F32" s="12">
        <f t="shared" si="1"/>
        <v>24000</v>
      </c>
    </row>
    <row r="33" ht="62.25" customHeight="1">
      <c r="A33" s="10" t="s">
        <v>59</v>
      </c>
      <c r="B33" s="10" t="s">
        <v>60</v>
      </c>
      <c r="C33" s="10">
        <v>4.0</v>
      </c>
      <c r="D33" s="6" t="s">
        <v>5</v>
      </c>
      <c r="E33" s="11">
        <v>12000.0</v>
      </c>
      <c r="F33" s="12">
        <f t="shared" si="1"/>
        <v>48000</v>
      </c>
    </row>
    <row r="34" ht="62.25" customHeight="1">
      <c r="A34" s="10" t="s">
        <v>61</v>
      </c>
      <c r="B34" s="10" t="s">
        <v>62</v>
      </c>
      <c r="C34" s="10">
        <v>2.0</v>
      </c>
      <c r="D34" s="6" t="s">
        <v>4</v>
      </c>
      <c r="E34" s="11">
        <v>10000.0</v>
      </c>
      <c r="F34" s="12">
        <f t="shared" si="1"/>
        <v>20000</v>
      </c>
    </row>
    <row r="35" ht="62.25" customHeight="1">
      <c r="A35" s="10" t="s">
        <v>63</v>
      </c>
      <c r="B35" s="10" t="s">
        <v>64</v>
      </c>
      <c r="C35" s="10">
        <v>5.0</v>
      </c>
      <c r="D35" s="6" t="s">
        <v>4</v>
      </c>
      <c r="E35" s="11">
        <v>10000.0</v>
      </c>
      <c r="F35" s="12">
        <f t="shared" si="1"/>
        <v>50000</v>
      </c>
    </row>
    <row r="36" ht="62.25" customHeight="1">
      <c r="A36" s="10" t="s">
        <v>65</v>
      </c>
      <c r="B36" s="10" t="s">
        <v>66</v>
      </c>
      <c r="C36" s="10">
        <v>4.0</v>
      </c>
      <c r="D36" s="6" t="s">
        <v>5</v>
      </c>
      <c r="E36" s="11">
        <v>12000.0</v>
      </c>
      <c r="F36" s="12">
        <f t="shared" si="1"/>
        <v>48000</v>
      </c>
    </row>
    <row r="37" ht="15.75" customHeight="1">
      <c r="A37" s="10" t="s">
        <v>67</v>
      </c>
      <c r="B37" s="10" t="s">
        <v>68</v>
      </c>
      <c r="C37" s="10">
        <v>2.0</v>
      </c>
      <c r="D37" s="6" t="s">
        <v>4</v>
      </c>
      <c r="E37" s="11">
        <v>10000.0</v>
      </c>
      <c r="F37" s="12">
        <f t="shared" si="1"/>
        <v>20000</v>
      </c>
    </row>
    <row r="38" ht="15.75" customHeight="1">
      <c r="A38" s="10" t="s">
        <v>69</v>
      </c>
      <c r="B38" s="10" t="s">
        <v>70</v>
      </c>
      <c r="C38" s="10">
        <v>4.0</v>
      </c>
      <c r="D38" s="6" t="s">
        <v>5</v>
      </c>
      <c r="E38" s="11">
        <v>12000.0</v>
      </c>
      <c r="F38" s="12">
        <f t="shared" si="1"/>
        <v>48000</v>
      </c>
    </row>
    <row r="39" ht="15.75" customHeight="1">
      <c r="A39" s="10" t="s">
        <v>71</v>
      </c>
      <c r="B39" s="10" t="s">
        <v>72</v>
      </c>
      <c r="C39" s="10">
        <v>3.0</v>
      </c>
      <c r="D39" s="6" t="s">
        <v>4</v>
      </c>
      <c r="E39" s="11">
        <v>10000.0</v>
      </c>
      <c r="F39" s="12">
        <f t="shared" si="1"/>
        <v>30000</v>
      </c>
    </row>
    <row r="40" ht="15.75" customHeight="1">
      <c r="A40" s="10" t="s">
        <v>73</v>
      </c>
      <c r="B40" s="10" t="s">
        <v>74</v>
      </c>
      <c r="C40" s="10">
        <v>4.0</v>
      </c>
      <c r="D40" s="6" t="s">
        <v>4</v>
      </c>
      <c r="E40" s="11">
        <v>10000.0</v>
      </c>
      <c r="F40" s="12">
        <f t="shared" si="1"/>
        <v>40000</v>
      </c>
    </row>
    <row r="41" ht="15.75" customHeight="1">
      <c r="A41" s="10" t="s">
        <v>75</v>
      </c>
      <c r="B41" s="10" t="s">
        <v>76</v>
      </c>
      <c r="C41" s="10">
        <v>2.0</v>
      </c>
      <c r="D41" s="6" t="s">
        <v>5</v>
      </c>
      <c r="E41" s="11">
        <v>10000.0</v>
      </c>
      <c r="F41" s="12">
        <f t="shared" si="1"/>
        <v>20000</v>
      </c>
    </row>
    <row r="42" ht="15.75" customHeight="1">
      <c r="A42" s="10" t="s">
        <v>77</v>
      </c>
      <c r="B42" s="10" t="s">
        <v>78</v>
      </c>
      <c r="C42" s="10">
        <v>4.0</v>
      </c>
      <c r="D42" s="6" t="s">
        <v>5</v>
      </c>
      <c r="E42" s="11">
        <v>10000.0</v>
      </c>
      <c r="F42" s="12">
        <f t="shared" si="1"/>
        <v>40000</v>
      </c>
    </row>
    <row r="43" ht="15.75" customHeight="1">
      <c r="A43" s="10" t="s">
        <v>79</v>
      </c>
      <c r="B43" s="10" t="s">
        <v>80</v>
      </c>
      <c r="C43" s="10">
        <v>3.0</v>
      </c>
      <c r="D43" s="6" t="s">
        <v>5</v>
      </c>
      <c r="E43" s="11">
        <v>10000.0</v>
      </c>
      <c r="F43" s="12">
        <f t="shared" si="1"/>
        <v>30000</v>
      </c>
    </row>
    <row r="44" ht="15.75" customHeight="1">
      <c r="A44" s="10" t="s">
        <v>81</v>
      </c>
      <c r="B44" s="10" t="s">
        <v>82</v>
      </c>
      <c r="C44" s="10">
        <v>2.0</v>
      </c>
      <c r="D44" s="6" t="s">
        <v>18</v>
      </c>
      <c r="E44" s="11">
        <v>12000.0</v>
      </c>
      <c r="F44" s="12">
        <f t="shared" si="1"/>
        <v>24000</v>
      </c>
    </row>
    <row r="45" ht="15.75" customHeight="1">
      <c r="A45" s="10" t="s">
        <v>83</v>
      </c>
      <c r="B45" s="10" t="s">
        <v>84</v>
      </c>
      <c r="C45" s="10">
        <v>2.0</v>
      </c>
      <c r="D45" s="6" t="s">
        <v>4</v>
      </c>
      <c r="E45" s="11">
        <v>10000.0</v>
      </c>
      <c r="F45" s="12">
        <f t="shared" si="1"/>
        <v>20000</v>
      </c>
    </row>
    <row r="46" ht="15.75" customHeight="1">
      <c r="A46" s="10" t="s">
        <v>85</v>
      </c>
      <c r="B46" s="10" t="s">
        <v>86</v>
      </c>
      <c r="C46" s="10">
        <v>4.0</v>
      </c>
      <c r="D46" s="6" t="s">
        <v>18</v>
      </c>
      <c r="E46" s="11">
        <v>12000.0</v>
      </c>
      <c r="F46" s="12">
        <f t="shared" si="1"/>
        <v>48000</v>
      </c>
    </row>
    <row r="47" ht="15.75" customHeight="1">
      <c r="A47" s="10" t="s">
        <v>87</v>
      </c>
      <c r="B47" s="10" t="s">
        <v>88</v>
      </c>
      <c r="C47" s="10">
        <v>3.0</v>
      </c>
      <c r="D47" s="6" t="s">
        <v>18</v>
      </c>
      <c r="E47" s="11">
        <v>12000.0</v>
      </c>
      <c r="F47" s="12">
        <f t="shared" si="1"/>
        <v>36000</v>
      </c>
    </row>
    <row r="48" ht="15.75" customHeight="1">
      <c r="A48" s="10" t="s">
        <v>89</v>
      </c>
      <c r="B48" s="10" t="s">
        <v>90</v>
      </c>
      <c r="C48" s="10">
        <v>3.0</v>
      </c>
      <c r="D48" s="6" t="s">
        <v>18</v>
      </c>
      <c r="E48" s="11">
        <v>12000.0</v>
      </c>
      <c r="F48" s="12">
        <f t="shared" si="1"/>
        <v>36000</v>
      </c>
    </row>
    <row r="49" ht="15.75" customHeight="1"/>
    <row r="50" ht="15.75" customHeight="1"/>
    <row r="51" ht="15.75" customHeight="1">
      <c r="B51" s="15" t="s">
        <v>91</v>
      </c>
      <c r="C51" s="16">
        <f>SUM(C10:C48)</f>
        <v>124</v>
      </c>
      <c r="E51" s="15" t="s">
        <v>92</v>
      </c>
      <c r="F51" s="17">
        <f>SUM(F10:F48)</f>
        <v>1424000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">
    <mergeCell ref="A2:C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2026-10-19T01:23:30Z</dcterms:created>
  <dc:creator>openpyxl</dc:creator>
</cp:coreProperties>
</file>